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ames\Downloads\"/>
    </mc:Choice>
  </mc:AlternateContent>
  <xr:revisionPtr revIDLastSave="0" documentId="13_ncr:1_{20C53D47-16B8-42CF-80EC-AF6AA21DC9B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1. Reserve Model" sheetId="1" r:id="rId1"/>
    <sheet name="2. T+1 Model" sheetId="2" r:id="rId2"/>
    <sheet name="Note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1" i="2" l="1"/>
  <c r="E37" i="2"/>
  <c r="E36" i="2"/>
  <c r="E35" i="2"/>
  <c r="C29" i="2"/>
  <c r="C19" i="2"/>
  <c r="C17" i="2"/>
  <c r="C16" i="2"/>
  <c r="C22" i="1"/>
  <c r="C20" i="1"/>
  <c r="C19" i="1"/>
  <c r="C18" i="1"/>
  <c r="C23" i="2" l="1"/>
  <c r="C18" i="2"/>
  <c r="C20" i="2" s="1"/>
  <c r="C21" i="1"/>
  <c r="C38" i="1"/>
  <c r="C29" i="1"/>
  <c r="C24" i="1"/>
  <c r="C23" i="1"/>
  <c r="C24" i="2" l="1"/>
  <c r="C25" i="2" s="1"/>
  <c r="E42" i="2"/>
  <c r="D37" i="2"/>
  <c r="D38" i="2"/>
  <c r="E38" i="2"/>
  <c r="D39" i="2"/>
  <c r="E39" i="2"/>
  <c r="D40" i="2"/>
  <c r="E40" i="2"/>
  <c r="D41" i="2"/>
  <c r="E41" i="2"/>
  <c r="D42" i="2"/>
  <c r="D43" i="2"/>
  <c r="E43" i="2"/>
  <c r="D44" i="2"/>
  <c r="E44" i="2"/>
  <c r="D45" i="2"/>
  <c r="E45" i="2"/>
  <c r="D46" i="2"/>
  <c r="E46" i="2"/>
  <c r="D47" i="2"/>
  <c r="E47" i="2"/>
  <c r="D35" i="2"/>
  <c r="D36" i="2"/>
  <c r="C38" i="2"/>
  <c r="C43" i="2"/>
  <c r="C37" i="2"/>
  <c r="C39" i="2"/>
  <c r="C40" i="2"/>
  <c r="C41" i="2"/>
  <c r="C42" i="2"/>
  <c r="C44" i="2"/>
  <c r="C45" i="2"/>
  <c r="C46" i="2"/>
  <c r="C47" i="2"/>
  <c r="C28" i="2"/>
  <c r="C35" i="2"/>
  <c r="C36" i="2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C57" i="1"/>
  <c r="F57" i="1"/>
  <c r="H57" i="1"/>
  <c r="H56" i="1"/>
  <c r="D57" i="1"/>
  <c r="G57" i="1"/>
  <c r="C25" i="1"/>
  <c r="G56" i="1"/>
  <c r="E57" i="1"/>
  <c r="C30" i="2" l="1"/>
  <c r="C28" i="1"/>
  <c r="C42" i="1"/>
  <c r="C30" i="1" l="1"/>
  <c r="C33" i="1"/>
  <c r="C35" i="1"/>
  <c r="G48" i="1"/>
  <c r="C43" i="1"/>
  <c r="C48" i="1"/>
  <c r="D48" i="1"/>
  <c r="E48" i="1"/>
  <c r="F48" i="1"/>
  <c r="H48" i="1"/>
  <c r="I48" i="1"/>
  <c r="C39" i="1" l="1"/>
  <c r="C34" i="1"/>
  <c r="C47" i="1"/>
  <c r="D47" i="1"/>
  <c r="E47" i="1"/>
  <c r="F47" i="1"/>
  <c r="G47" i="1"/>
  <c r="H47" i="1"/>
  <c r="I4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2" authorId="0" shapeId="0" xr:uid="{00000000-0006-0000-0000-000001000000}">
      <text>
        <r>
          <rPr>
            <sz val="10"/>
            <rFont val="Arial"/>
            <family val="2"/>
          </rPr>
          <t>Rail cap derived from throughput: TPS * avg OCT txn size * 3600 sec/hr</t>
        </r>
      </text>
    </comment>
    <comment ref="C25" authorId="0" shapeId="0" xr:uid="{00000000-0006-0000-0000-000002000000}">
      <text>
        <r>
          <rPr>
            <sz val="10"/>
            <rFont val="Arial"/>
            <family val="2"/>
          </rPr>
          <t>Run-peak OCT outflow = min(run multiple * normal hourly OCT, rail cap)</t>
        </r>
      </text>
    </comment>
    <comment ref="C28" authorId="0" shapeId="0" xr:uid="{00000000-0006-0000-0000-000003000000}">
      <text>
        <r>
          <rPr>
            <sz val="10"/>
            <rFont val="Arial"/>
            <family val="2"/>
          </rPr>
          <t>OCT pushed before the kill switch fires = O_peak * blind window. Irrevocable.</t>
        </r>
      </text>
    </comment>
    <comment ref="C29" authorId="0" shapeId="0" xr:uid="{00000000-0006-0000-0000-000004000000}">
      <text>
        <r>
          <rPr>
            <sz val="10"/>
            <rFont val="Arial"/>
            <family val="2"/>
          </rPr>
          <t>Already-released AFT that reverses after OCT is gone = daily AFT * days at risk * return rate</t>
        </r>
      </text>
    </comment>
    <comment ref="C33" authorId="0" shapeId="0" xr:uid="{00000000-0006-0000-0000-000005000000}">
      <text>
        <r>
          <rPr>
            <sz val="10"/>
            <rFont val="Arial"/>
            <family val="2"/>
          </rPr>
          <t>Reserve must cover both the blind-window OCT push and the AFT return tail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4" authorId="0" shapeId="0" xr:uid="{00000000-0006-0000-0100-000001000000}">
      <text>
        <r>
          <rPr>
            <sz val="10"/>
            <rFont val="Arial"/>
            <family val="2"/>
          </rPr>
          <t>How long the held day of AFT covers run-peak OCT = reserve / O_peak</t>
        </r>
      </text>
    </comment>
  </commentList>
</comments>
</file>

<file path=xl/sharedStrings.xml><?xml version="1.0" encoding="utf-8"?>
<sst xmlns="http://schemas.openxmlformats.org/spreadsheetml/2006/main" count="116" uniqueCount="99">
  <si>
    <t>Bank-run exposure — rolling reserve model</t>
  </si>
  <si>
    <t>AFT inflow / OCT payout · wallet merchant · all $ in millions unless noted</t>
  </si>
  <si>
    <t>INPUTS  (edit blue cells)</t>
  </si>
  <si>
    <t>Annual AFT volume ($B)</t>
  </si>
  <si>
    <t>Annual OCT volume ($B)</t>
  </si>
  <si>
    <t>Avg AFT txn ($)</t>
  </si>
  <si>
    <t>Avg OCT txn ($)</t>
  </si>
  <si>
    <t>OCT rail throughput (TPS)</t>
  </si>
  <si>
    <t>drives the rail cap</t>
  </si>
  <si>
    <t>Run multiple (x normal hourly OCT)</t>
  </si>
  <si>
    <t>Blind window T_b (hr)</t>
  </si>
  <si>
    <t>consolidation + kill execution</t>
  </si>
  <si>
    <t>Run AFT return rate</t>
  </si>
  <si>
    <t>elevated chargeback/return in a run</t>
  </si>
  <si>
    <t>Released AFT at risk (days)</t>
  </si>
  <si>
    <t>Reserve holding period (days)</t>
  </si>
  <si>
    <t>how long each AFT $ is held back</t>
  </si>
  <si>
    <t>Automated window target (hr)</t>
  </si>
  <si>
    <t>faster monitoring + auto-trip</t>
  </si>
  <si>
    <t>DERIVED — FLOWS</t>
  </si>
  <si>
    <t>Daily OCT ($M)</t>
  </si>
  <si>
    <t>Daily AFT ($M)</t>
  </si>
  <si>
    <t>Blended AFT : OCT</t>
  </si>
  <si>
    <t>Normal hourly OCT ($M/hr)</t>
  </si>
  <si>
    <t>Implied OCT rail cap ($M/hr)</t>
  </si>
  <si>
    <t>TPS x avg OCT txn x 3600</t>
  </si>
  <si>
    <t>Avg OCT throughput (TPS)</t>
  </si>
  <si>
    <t>Avg AFT throughput (TPS)</t>
  </si>
  <si>
    <t>O_peak run rate ($M/hr)</t>
  </si>
  <si>
    <t>EXPOSURE</t>
  </si>
  <si>
    <t>E1  blind-window OCT ($M)</t>
  </si>
  <si>
    <t>irrevocable; switch cannot stop</t>
  </si>
  <si>
    <t>E2  AFT return tail ($M)</t>
  </si>
  <si>
    <t>retroactive AFT reversals</t>
  </si>
  <si>
    <t>Peak capped exposure ($M)</t>
  </si>
  <si>
    <t>strict good-funds basis</t>
  </si>
  <si>
    <t>ROLLING RESERVE</t>
  </si>
  <si>
    <t>Target reserve balance ($M)</t>
  </si>
  <si>
    <t>E1 + E2 (reserve covers both)</t>
  </si>
  <si>
    <t>Holdback % of AFT — full (push + tail)</t>
  </si>
  <si>
    <t>Holdback % of AFT — OCT push only</t>
  </si>
  <si>
    <t>COMPARISON vs T+1</t>
  </si>
  <si>
    <t>T+1 traps (1 full day AFT) ($M)</t>
  </si>
  <si>
    <t>Capital saved by rolling reserve ($M)</t>
  </si>
  <si>
    <t>less merchant working capital trapped</t>
  </si>
  <si>
    <t>AUTOMATION VALUE</t>
  </si>
  <si>
    <t>E1 at automated window ($M)</t>
  </si>
  <si>
    <t>Exposure removed by automation ($M)</t>
  </si>
  <si>
    <t>value of cutting manual latency</t>
  </si>
  <si>
    <t>SENSITIVITY — holdback % of AFT by holding period (days)</t>
  </si>
  <si>
    <t>Holding period (days)</t>
  </si>
  <si>
    <t>Full holdback % (push + tail)</t>
  </si>
  <si>
    <t>Push-only holdback %</t>
  </si>
  <si>
    <t>SENSITIVITY — peak exposure ($M):  rows = blind window (hr), cols = OCT rail cap ($M/hr)</t>
  </si>
  <si>
    <t>T_b  \  rail cap</t>
  </si>
  <si>
    <t>Bank-run exposure — T+1 funding model (runway)</t>
  </si>
  <si>
    <t>One extra day of AFT held as buffer · all $ in millions unless noted</t>
  </si>
  <si>
    <t>AFT good-funds haircut</t>
  </si>
  <si>
    <t>if credit risk credits held AFT</t>
  </si>
  <si>
    <t>DERIVED</t>
  </si>
  <si>
    <t>T+1 RESERVE &amp; RUNWAY</t>
  </si>
  <si>
    <t>T+1 reserve = 1 day AFT ($M)</t>
  </si>
  <si>
    <t>Reserve runway (hr)</t>
  </si>
  <si>
    <t>hours of OCT the reserve funds</t>
  </si>
  <si>
    <t>Runway vs blind window</t>
  </si>
  <si>
    <t>Peak capped exposure — strict ($M)</t>
  </si>
  <si>
    <t>AFT not counted as good funds</t>
  </si>
  <si>
    <t>Net exposure if AFT credited ($M)</t>
  </si>
  <si>
    <t>held AFT credited at haircut</t>
  </si>
  <si>
    <t>RUNWAY DEPLETION SCHEDULE  (if OCT continued unhalted at O_peak)</t>
  </si>
  <si>
    <t>Hour</t>
  </si>
  <si>
    <t>Cumulative OCT pushed ($M)</t>
  </si>
  <si>
    <t>Reserve remaining ($M)</t>
  </si>
  <si>
    <t>Status</t>
  </si>
  <si>
    <t>Notes, assumptions &amp; glossary</t>
  </si>
  <si>
    <t>PURPOSE</t>
  </si>
  <si>
    <t>Sizes JPMC exposure on a combined AFT (pull/inflow) + OCT (push/payout) wallet program in a bank-run scenario,</t>
  </si>
  <si>
    <t>and compares two mitigants: a rolling reserve (Tab 1) and T+1 AFT funding (Tab 2).</t>
  </si>
  <si>
    <t>KEY DIRECTION NOTE</t>
  </si>
  <si>
    <t>AFT = revocable pull = inflow we receive.  OCT = irrevocable push = payout we send.</t>
  </si>
  <si>
    <t>The reserve is a holdback on AFT inflow. The kill switch halts future OCT but cannot recover OCT already pushed.</t>
  </si>
  <si>
    <t>CORE FORMULAS</t>
  </si>
  <si>
    <t>Rail cap ($M/hr) = OCT TPS x avg OCT txn x 3600 / 1,000,000</t>
  </si>
  <si>
    <t>O_peak ($M/hr)   = MIN(run multiple x normal hourly OCT, rail cap)</t>
  </si>
  <si>
    <t>E1 blind-window OCT = O_peak x blind window T_b   (irrevocable, switch cannot stop)</t>
  </si>
  <si>
    <t>E2 AFT return tail  = daily AFT x days at risk x run return rate   (retroactive reversals)</t>
  </si>
  <si>
    <t>Target reserve      = E1 + E2</t>
  </si>
  <si>
    <t>Holdback % of AFT   = target reserve / (daily AFT x holding period)</t>
  </si>
  <si>
    <t>T+1 runway (hr)     = one day of AFT / O_peak</t>
  </si>
  <si>
    <t>WHAT MOVES THE NUMBER MOST</t>
  </si>
  <si>
    <t>1. OCT rail throughput (TPS) — set this to the real engineering ceiling; it scales E1 linearly.</t>
  </si>
  <si>
    <t>2. Blind window T_b — consolidation + kill execution; automating it is the cheapest lever (see Tab 1 automation value).</t>
  </si>
  <si>
    <t>TREATMENT TO AGREE WITH CREDIT RISK</t>
  </si>
  <si>
    <t>Strict good-funds: revocable AFT is not credited -&gt; capped exposure = E1 + E2.  T+1 does not reduce this.</t>
  </si>
  <si>
    <t>AFT-credited (haircut): held AFT counts at a haircut -&gt; net exposure can fall to the tail (see Tab 2).</t>
  </si>
  <si>
    <t>DEFAULTS REFLECT: $60B annual AFT, $28B annual OCT, $50 avg txn each side, 4.0h blind window, 3% run return,</t>
  </si>
  <si>
    <t>5 days released AFT at risk, 66.7 TPS rail (-&gt; $12.0M/hr cap). Adjust all blue cells for your figures.</t>
  </si>
  <si>
    <t>Blue cells = editable inputs.  Black = live formulas.  All results recalculate automatically.</t>
  </si>
  <si>
    <t>min (OCT Bank Run TPS, Max OCT Rail TPS)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</si>
</sst>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\$#,##0.0;&quot;($&quot;#,##0.0\);\-"/>
    <numFmt numFmtId="167" formatCode="0.0\x"/>
  </numFmts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0000FF"/>
      <name val="Arial"/>
      <charset val="1"/>
    </font>
    <font>
      <i/>
      <sz val="9"/>
      <color rgb="FF808080"/>
      <name val="Arial"/>
      <charset val="1"/>
    </font>
    <font>
      <sz val="10"/>
      <color rgb="FF000000"/>
      <name val="Arial"/>
      <charset val="1"/>
    </font>
    <font>
      <b/>
      <sz val="11"/>
      <color rgb="FF000000"/>
      <name val="Arial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DCE4"/>
        <bgColor rgb="FFD9D9D9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0" xfId="0" applyFont="1" applyFill="1"/>
    <xf numFmtId="0" fontId="1" fillId="2" borderId="0" xfId="0" applyFont="1" applyFill="1" applyAlignment="1">
      <alignment horizontal="left" vertical="center"/>
    </xf>
    <xf numFmtId="0" fontId="3" fillId="3" borderId="1" xfId="0" applyFont="1" applyFill="1" applyBorder="1"/>
    <xf numFmtId="0" fontId="0" fillId="3" borderId="1" xfId="0" applyFill="1" applyBorder="1"/>
    <xf numFmtId="0" fontId="4" fillId="0" borderId="0" xfId="0" applyFont="1"/>
    <xf numFmtId="3" fontId="5" fillId="4" borderId="1" xfId="0" applyNumberFormat="1" applyFont="1" applyFill="1" applyBorder="1"/>
    <xf numFmtId="164" fontId="5" fillId="4" borderId="1" xfId="0" applyNumberFormat="1" applyFont="1" applyFill="1" applyBorder="1"/>
    <xf numFmtId="0" fontId="6" fillId="0" borderId="0" xfId="0" applyFont="1"/>
    <xf numFmtId="165" fontId="5" fillId="4" borderId="1" xfId="0" applyNumberFormat="1" applyFont="1" applyFill="1" applyBorder="1"/>
    <xf numFmtId="166" fontId="7" fillId="0" borderId="1" xfId="0" applyNumberFormat="1" applyFont="1" applyBorder="1"/>
    <xf numFmtId="167" fontId="7" fillId="0" borderId="1" xfId="0" applyNumberFormat="1" applyFont="1" applyBorder="1"/>
    <xf numFmtId="164" fontId="7" fillId="0" borderId="1" xfId="0" applyNumberFormat="1" applyFont="1" applyBorder="1"/>
    <xf numFmtId="166" fontId="8" fillId="5" borderId="1" xfId="0" applyNumberFormat="1" applyFont="1" applyFill="1" applyBorder="1"/>
    <xf numFmtId="165" fontId="8" fillId="5" borderId="1" xfId="0" applyNumberFormat="1" applyFont="1" applyFill="1" applyBorder="1"/>
    <xf numFmtId="165" fontId="7" fillId="0" borderId="1" xfId="0" applyNumberFormat="1" applyFont="1" applyBorder="1"/>
    <xf numFmtId="0" fontId="5" fillId="4" borderId="1" xfId="0" applyFont="1" applyFill="1" applyBorder="1" applyAlignment="1">
      <alignment horizontal="center"/>
    </xf>
    <xf numFmtId="0" fontId="3" fillId="0" borderId="0" xfId="0" applyFont="1"/>
    <xf numFmtId="3" fontId="7" fillId="6" borderId="1" xfId="0" applyNumberFormat="1" applyFont="1" applyFill="1" applyBorder="1"/>
    <xf numFmtId="164" fontId="8" fillId="5" borderId="1" xfId="0" applyNumberFormat="1" applyFont="1" applyFill="1" applyBorder="1"/>
    <xf numFmtId="0" fontId="8" fillId="5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BE4B48"/>
      <rgbColor rgb="FFFFF2CC"/>
      <rgbColor rgb="FFDDEBF7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T+1 reserve depletion vs hours into run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T+1 Model'!$C$34</c:f>
              <c:strCache>
                <c:ptCount val="1"/>
                <c:pt idx="0">
                  <c:v>Cumulative OCT pushed ($M)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'2. T+1 Model'!$B$35:$B$47</c:f>
              <c:numCache>
                <c:formatCode>General</c:formatCode>
                <c:ptCount val="1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</c:numCache>
            </c:numRef>
          </c:cat>
          <c:val>
            <c:numRef>
              <c:f>'2. T+1 Model'!$C$35:$C$47</c:f>
              <c:numCache>
                <c:formatCode>\$#,##0.0;"($"#,##0.0\);\-</c:formatCode>
                <c:ptCount val="13"/>
                <c:pt idx="0">
                  <c:v>0</c:v>
                </c:pt>
                <c:pt idx="1">
                  <c:v>63.926940639269397</c:v>
                </c:pt>
                <c:pt idx="2">
                  <c:v>127.85388127853879</c:v>
                </c:pt>
                <c:pt idx="3">
                  <c:v>191.7808219178082</c:v>
                </c:pt>
                <c:pt idx="4">
                  <c:v>255.70776255707759</c:v>
                </c:pt>
                <c:pt idx="5">
                  <c:v>319.634703196347</c:v>
                </c:pt>
                <c:pt idx="6">
                  <c:v>383.56164383561639</c:v>
                </c:pt>
                <c:pt idx="7">
                  <c:v>447.48858447488578</c:v>
                </c:pt>
                <c:pt idx="8">
                  <c:v>511.41552511415517</c:v>
                </c:pt>
                <c:pt idx="9">
                  <c:v>575.34246575342456</c:v>
                </c:pt>
                <c:pt idx="10">
                  <c:v>639.26940639269401</c:v>
                </c:pt>
                <c:pt idx="11">
                  <c:v>703.19634703196334</c:v>
                </c:pt>
                <c:pt idx="12">
                  <c:v>767.12328767123279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23A-4771-AEF8-0749D2F1C971}"/>
            </c:ext>
          </c:extLst>
        </c:ser>
        <c:ser>
          <c:idx val="1"/>
          <c:order val="1"/>
          <c:tx>
            <c:strRef>
              <c:f>'2. T+1 Model'!$D$34</c:f>
              <c:strCache>
                <c:ptCount val="1"/>
                <c:pt idx="0">
                  <c:v>Reserve remaining ($M)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'2. T+1 Model'!$B$35:$B$47</c:f>
              <c:numCache>
                <c:formatCode>General</c:formatCode>
                <c:ptCount val="1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</c:numCache>
            </c:numRef>
          </c:cat>
          <c:val>
            <c:numRef>
              <c:f>'2. T+1 Model'!$D$35:$D$47</c:f>
              <c:numCache>
                <c:formatCode>\$#,##0.0;"($"#,##0.0\);\-</c:formatCode>
                <c:ptCount val="13"/>
                <c:pt idx="0">
                  <c:v>164.38356164383561</c:v>
                </c:pt>
                <c:pt idx="1">
                  <c:v>100.45662100456622</c:v>
                </c:pt>
                <c:pt idx="2">
                  <c:v>36.529680365296812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23A-4771-AEF8-0749D2F1C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6195130"/>
        <c:axId val="39832603"/>
      </c:lineChart>
      <c:catAx>
        <c:axId val="261951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Hours into run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832603"/>
        <c:crosses val="autoZero"/>
        <c:auto val="1"/>
        <c:lblAlgn val="ctr"/>
        <c:lblOffset val="100"/>
        <c:noMultiLvlLbl val="0"/>
      </c:catAx>
      <c:valAx>
        <c:axId val="398326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$M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;&quot;($&quot;#,##0.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1951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33</xdr:row>
      <xdr:rowOff>0</xdr:rowOff>
    </xdr:from>
    <xdr:to>
      <xdr:col>15</xdr:col>
      <xdr:colOff>255240</xdr:colOff>
      <xdr:row>47</xdr:row>
      <xdr:rowOff>99360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7"/>
  <sheetViews>
    <sheetView showGridLines="0" tabSelected="1" zoomScaleNormal="100" workbookViewId="0">
      <selection activeCell="F23" sqref="F23"/>
    </sheetView>
  </sheetViews>
  <sheetFormatPr defaultColWidth="8.7109375" defaultRowHeight="15" x14ac:dyDescent="0.25"/>
  <cols>
    <col min="1" max="1" width="2" customWidth="1"/>
    <col min="2" max="2" width="40" customWidth="1"/>
    <col min="3" max="3" width="16" customWidth="1"/>
    <col min="4" max="4" width="30" customWidth="1"/>
  </cols>
  <sheetData>
    <row r="1" spans="2:4" ht="24" customHeight="1" x14ac:dyDescent="0.25">
      <c r="B1" s="2" t="s">
        <v>0</v>
      </c>
      <c r="C1" s="2"/>
      <c r="D1" s="2"/>
    </row>
    <row r="2" spans="2:4" ht="15" customHeight="1" x14ac:dyDescent="0.25">
      <c r="B2" s="1" t="s">
        <v>1</v>
      </c>
      <c r="C2" s="1"/>
      <c r="D2" s="1"/>
    </row>
    <row r="4" spans="2:4" ht="15" customHeight="1" x14ac:dyDescent="0.25">
      <c r="B4" s="3" t="s">
        <v>2</v>
      </c>
      <c r="C4" s="4"/>
      <c r="D4" s="4"/>
    </row>
    <row r="5" spans="2:4" ht="15" customHeight="1" x14ac:dyDescent="0.25">
      <c r="B5" s="5" t="s">
        <v>3</v>
      </c>
      <c r="C5" s="6">
        <v>60</v>
      </c>
    </row>
    <row r="6" spans="2:4" ht="15" customHeight="1" x14ac:dyDescent="0.25">
      <c r="B6" s="5" t="s">
        <v>4</v>
      </c>
      <c r="C6" s="6">
        <v>28</v>
      </c>
    </row>
    <row r="7" spans="2:4" ht="15" customHeight="1" x14ac:dyDescent="0.25">
      <c r="B7" s="5" t="s">
        <v>5</v>
      </c>
      <c r="C7" s="6">
        <v>50</v>
      </c>
    </row>
    <row r="8" spans="2:4" ht="15" customHeight="1" x14ac:dyDescent="0.25">
      <c r="B8" s="5" t="s">
        <v>6</v>
      </c>
      <c r="C8" s="6">
        <v>50</v>
      </c>
    </row>
    <row r="9" spans="2:4" ht="15" customHeight="1" x14ac:dyDescent="0.25">
      <c r="B9" s="5" t="s">
        <v>7</v>
      </c>
      <c r="C9" s="7">
        <v>500</v>
      </c>
      <c r="D9" s="8" t="s">
        <v>8</v>
      </c>
    </row>
    <row r="10" spans="2:4" ht="15" customHeight="1" x14ac:dyDescent="0.25">
      <c r="B10" s="5" t="s">
        <v>9</v>
      </c>
      <c r="C10" s="7">
        <v>10</v>
      </c>
    </row>
    <row r="11" spans="2:4" ht="15" customHeight="1" x14ac:dyDescent="0.25">
      <c r="B11" s="5" t="s">
        <v>10</v>
      </c>
      <c r="C11" s="7">
        <v>4</v>
      </c>
      <c r="D11" s="8" t="s">
        <v>11</v>
      </c>
    </row>
    <row r="12" spans="2:4" ht="15" customHeight="1" x14ac:dyDescent="0.25">
      <c r="B12" s="5" t="s">
        <v>12</v>
      </c>
      <c r="C12" s="9">
        <v>0.03</v>
      </c>
      <c r="D12" s="8" t="s">
        <v>13</v>
      </c>
    </row>
    <row r="13" spans="2:4" ht="15" customHeight="1" x14ac:dyDescent="0.25">
      <c r="B13" s="5" t="s">
        <v>14</v>
      </c>
      <c r="C13" s="6">
        <v>5</v>
      </c>
    </row>
    <row r="14" spans="2:4" ht="15" customHeight="1" x14ac:dyDescent="0.25">
      <c r="B14" s="5" t="s">
        <v>15</v>
      </c>
      <c r="C14" s="6">
        <v>3</v>
      </c>
      <c r="D14" s="8" t="s">
        <v>16</v>
      </c>
    </row>
    <row r="15" spans="2:4" ht="15" customHeight="1" x14ac:dyDescent="0.25">
      <c r="B15" s="5" t="s">
        <v>17</v>
      </c>
      <c r="C15" s="7">
        <v>0.33</v>
      </c>
      <c r="D15" s="8" t="s">
        <v>18</v>
      </c>
    </row>
    <row r="17" spans="2:4" ht="15" customHeight="1" x14ac:dyDescent="0.25">
      <c r="B17" s="3" t="s">
        <v>19</v>
      </c>
      <c r="C17" s="4"/>
      <c r="D17" s="4"/>
    </row>
    <row r="18" spans="2:4" ht="15" customHeight="1" x14ac:dyDescent="0.25">
      <c r="B18" s="5" t="s">
        <v>20</v>
      </c>
      <c r="C18" s="10">
        <f>C6*1000/365</f>
        <v>76.712328767123282</v>
      </c>
    </row>
    <row r="19" spans="2:4" ht="15" customHeight="1" x14ac:dyDescent="0.25">
      <c r="B19" s="5" t="s">
        <v>21</v>
      </c>
      <c r="C19" s="10">
        <f>C5*1000/365</f>
        <v>164.38356164383561</v>
      </c>
    </row>
    <row r="20" spans="2:4" ht="15" customHeight="1" x14ac:dyDescent="0.25">
      <c r="B20" s="5" t="s">
        <v>22</v>
      </c>
      <c r="C20" s="11">
        <f>C5/C6</f>
        <v>2.1428571428571428</v>
      </c>
    </row>
    <row r="21" spans="2:4" ht="15" customHeight="1" x14ac:dyDescent="0.25">
      <c r="B21" s="5" t="s">
        <v>23</v>
      </c>
      <c r="C21" s="10">
        <f>C18/24</f>
        <v>3.1963470319634699</v>
      </c>
    </row>
    <row r="22" spans="2:4" ht="15" customHeight="1" x14ac:dyDescent="0.25">
      <c r="B22" s="5" t="s">
        <v>24</v>
      </c>
      <c r="C22" s="10">
        <f>C9*C8*3600/1000000</f>
        <v>90</v>
      </c>
      <c r="D22" s="8" t="s">
        <v>25</v>
      </c>
    </row>
    <row r="23" spans="2:4" ht="15" customHeight="1" x14ac:dyDescent="0.25">
      <c r="B23" s="5" t="s">
        <v>26</v>
      </c>
      <c r="C23" s="12">
        <f>(C18*1000000/C8)/86400</f>
        <v>17.757483510908166</v>
      </c>
    </row>
    <row r="24" spans="2:4" ht="15" customHeight="1" x14ac:dyDescent="0.25">
      <c r="B24" s="5" t="s">
        <v>27</v>
      </c>
      <c r="C24" s="12">
        <f>(C19*1000000/C7)/86400</f>
        <v>38.051750380517497</v>
      </c>
    </row>
    <row r="25" spans="2:4" ht="15" customHeight="1" x14ac:dyDescent="0.25">
      <c r="B25" s="5" t="s">
        <v>28</v>
      </c>
      <c r="C25" s="10">
        <f>MIN(C10*C21,C22)</f>
        <v>31.963470319634698</v>
      </c>
      <c r="D25" s="8" t="s">
        <v>98</v>
      </c>
    </row>
    <row r="27" spans="2:4" ht="15" customHeight="1" x14ac:dyDescent="0.25">
      <c r="B27" s="3" t="s">
        <v>29</v>
      </c>
      <c r="C27" s="4"/>
      <c r="D27" s="4"/>
    </row>
    <row r="28" spans="2:4" ht="15" customHeight="1" x14ac:dyDescent="0.25">
      <c r="B28" s="5" t="s">
        <v>30</v>
      </c>
      <c r="C28" s="10">
        <f>C25*C11</f>
        <v>127.85388127853879</v>
      </c>
      <c r="D28" s="8" t="s">
        <v>31</v>
      </c>
    </row>
    <row r="29" spans="2:4" ht="15" customHeight="1" x14ac:dyDescent="0.25">
      <c r="B29" s="5" t="s">
        <v>32</v>
      </c>
      <c r="C29" s="10">
        <f>C19*C13*C12</f>
        <v>24.657534246575342</v>
      </c>
      <c r="D29" s="8" t="s">
        <v>33</v>
      </c>
    </row>
    <row r="30" spans="2:4" ht="15" customHeight="1" x14ac:dyDescent="0.25">
      <c r="B30" s="5" t="s">
        <v>34</v>
      </c>
      <c r="C30" s="13">
        <f>C28+C29</f>
        <v>152.51141552511413</v>
      </c>
      <c r="D30" s="8" t="s">
        <v>35</v>
      </c>
    </row>
    <row r="32" spans="2:4" ht="15" customHeight="1" x14ac:dyDescent="0.25">
      <c r="B32" s="3" t="s">
        <v>36</v>
      </c>
      <c r="C32" s="4"/>
      <c r="D32" s="4"/>
    </row>
    <row r="33" spans="2:9" ht="15" customHeight="1" x14ac:dyDescent="0.25">
      <c r="B33" s="5" t="s">
        <v>37</v>
      </c>
      <c r="C33" s="13">
        <f>C28+C29</f>
        <v>152.51141552511413</v>
      </c>
      <c r="D33" s="8" t="s">
        <v>38</v>
      </c>
    </row>
    <row r="34" spans="2:9" ht="15" customHeight="1" x14ac:dyDescent="0.25">
      <c r="B34" s="5" t="s">
        <v>39</v>
      </c>
      <c r="C34" s="14">
        <f>C33/(C19*C14)</f>
        <v>0.30925925925925923</v>
      </c>
    </row>
    <row r="35" spans="2:9" ht="15" customHeight="1" x14ac:dyDescent="0.25">
      <c r="B35" s="5" t="s">
        <v>40</v>
      </c>
      <c r="C35" s="15">
        <f>C28/(C19*C14)</f>
        <v>0.25925925925925924</v>
      </c>
    </row>
    <row r="37" spans="2:9" ht="15" customHeight="1" x14ac:dyDescent="0.25">
      <c r="B37" s="3" t="s">
        <v>41</v>
      </c>
      <c r="C37" s="4"/>
      <c r="D37" s="4"/>
    </row>
    <row r="38" spans="2:9" ht="15" customHeight="1" x14ac:dyDescent="0.25">
      <c r="B38" s="5" t="s">
        <v>42</v>
      </c>
      <c r="C38" s="10">
        <f>C19</f>
        <v>164.38356164383561</v>
      </c>
    </row>
    <row r="39" spans="2:9" ht="15" customHeight="1" x14ac:dyDescent="0.25">
      <c r="B39" s="5" t="s">
        <v>43</v>
      </c>
      <c r="C39" s="13">
        <f>C38-C33</f>
        <v>11.872146118721474</v>
      </c>
      <c r="D39" s="8" t="s">
        <v>44</v>
      </c>
    </row>
    <row r="41" spans="2:9" ht="15" customHeight="1" x14ac:dyDescent="0.25">
      <c r="B41" s="3" t="s">
        <v>45</v>
      </c>
      <c r="C41" s="4"/>
      <c r="D41" s="4"/>
    </row>
    <row r="42" spans="2:9" ht="15" customHeight="1" x14ac:dyDescent="0.25">
      <c r="B42" s="5" t="s">
        <v>46</v>
      </c>
      <c r="C42" s="10">
        <f>C25*C15</f>
        <v>10.547945205479451</v>
      </c>
    </row>
    <row r="43" spans="2:9" ht="15" customHeight="1" x14ac:dyDescent="0.25">
      <c r="B43" s="5" t="s">
        <v>47</v>
      </c>
      <c r="C43" s="13">
        <f>C28-C42</f>
        <v>117.30593607305934</v>
      </c>
      <c r="D43" s="8" t="s">
        <v>48</v>
      </c>
    </row>
    <row r="45" spans="2:9" ht="15" customHeight="1" x14ac:dyDescent="0.25">
      <c r="B45" s="3" t="s">
        <v>49</v>
      </c>
      <c r="C45" s="4"/>
      <c r="D45" s="4"/>
    </row>
    <row r="46" spans="2:9" ht="15" customHeight="1" x14ac:dyDescent="0.25">
      <c r="B46" s="5" t="s">
        <v>50</v>
      </c>
      <c r="C46" s="16">
        <v>1</v>
      </c>
      <c r="D46" s="16">
        <v>2</v>
      </c>
      <c r="E46" s="16">
        <v>3</v>
      </c>
      <c r="F46" s="16">
        <v>4</v>
      </c>
      <c r="G46" s="16">
        <v>5</v>
      </c>
      <c r="H46" s="16">
        <v>6</v>
      </c>
      <c r="I46" s="16">
        <v>7</v>
      </c>
    </row>
    <row r="47" spans="2:9" ht="15" customHeight="1" x14ac:dyDescent="0.25">
      <c r="B47" s="5" t="s">
        <v>51</v>
      </c>
      <c r="C47" s="15">
        <f t="shared" ref="C47:I47" si="0">$C$33/($C$19*C46)</f>
        <v>0.9277777777777777</v>
      </c>
      <c r="D47" s="15">
        <f t="shared" si="0"/>
        <v>0.46388888888888885</v>
      </c>
      <c r="E47" s="15">
        <f t="shared" si="0"/>
        <v>0.30925925925925923</v>
      </c>
      <c r="F47" s="15">
        <f t="shared" si="0"/>
        <v>0.23194444444444443</v>
      </c>
      <c r="G47" s="15">
        <f t="shared" si="0"/>
        <v>0.18555555555555553</v>
      </c>
      <c r="H47" s="15">
        <f t="shared" si="0"/>
        <v>0.15462962962962962</v>
      </c>
      <c r="I47" s="15">
        <f t="shared" si="0"/>
        <v>0.13253968253968251</v>
      </c>
    </row>
    <row r="48" spans="2:9" ht="15" customHeight="1" x14ac:dyDescent="0.25">
      <c r="B48" s="5" t="s">
        <v>52</v>
      </c>
      <c r="C48" s="15">
        <f t="shared" ref="C48:I48" si="1">$C$28/($C$19*C46)</f>
        <v>0.77777777777777768</v>
      </c>
      <c r="D48" s="15">
        <f t="shared" si="1"/>
        <v>0.38888888888888884</v>
      </c>
      <c r="E48" s="15">
        <f t="shared" si="1"/>
        <v>0.25925925925925924</v>
      </c>
      <c r="F48" s="15">
        <f t="shared" si="1"/>
        <v>0.19444444444444442</v>
      </c>
      <c r="G48" s="15">
        <f t="shared" si="1"/>
        <v>0.15555555555555553</v>
      </c>
      <c r="H48" s="15">
        <f t="shared" si="1"/>
        <v>0.12962962962962962</v>
      </c>
      <c r="I48" s="15">
        <f t="shared" si="1"/>
        <v>0.11111111111111109</v>
      </c>
    </row>
    <row r="50" spans="2:8" ht="15" customHeight="1" x14ac:dyDescent="0.25">
      <c r="B50" s="3" t="s">
        <v>53</v>
      </c>
      <c r="C50" s="4"/>
      <c r="D50" s="4"/>
    </row>
    <row r="51" spans="2:8" ht="15" customHeight="1" x14ac:dyDescent="0.25">
      <c r="B51" s="17" t="s">
        <v>54</v>
      </c>
      <c r="C51" s="16">
        <v>6</v>
      </c>
      <c r="D51" s="16">
        <v>8</v>
      </c>
      <c r="E51" s="16">
        <v>10</v>
      </c>
      <c r="F51" s="16">
        <v>12</v>
      </c>
      <c r="G51" s="16">
        <v>14</v>
      </c>
      <c r="H51" s="16">
        <v>16</v>
      </c>
    </row>
    <row r="52" spans="2:8" ht="15" customHeight="1" x14ac:dyDescent="0.25">
      <c r="B52" s="16">
        <v>1</v>
      </c>
      <c r="C52" s="18">
        <f t="shared" ref="C52:H57" si="2">MIN($C$10*$C$21,C$51)*$B52+$C$29</f>
        <v>30.657534246575342</v>
      </c>
      <c r="D52" s="18">
        <f t="shared" si="2"/>
        <v>32.657534246575338</v>
      </c>
      <c r="E52" s="18">
        <f t="shared" si="2"/>
        <v>34.657534246575338</v>
      </c>
      <c r="F52" s="18">
        <f t="shared" si="2"/>
        <v>36.657534246575338</v>
      </c>
      <c r="G52" s="18">
        <f t="shared" si="2"/>
        <v>38.657534246575338</v>
      </c>
      <c r="H52" s="18">
        <f t="shared" si="2"/>
        <v>40.657534246575338</v>
      </c>
    </row>
    <row r="53" spans="2:8" ht="15" customHeight="1" x14ac:dyDescent="0.25">
      <c r="B53" s="16">
        <v>2</v>
      </c>
      <c r="C53" s="18">
        <f t="shared" si="2"/>
        <v>36.657534246575338</v>
      </c>
      <c r="D53" s="18">
        <f t="shared" si="2"/>
        <v>40.657534246575338</v>
      </c>
      <c r="E53" s="18">
        <f t="shared" si="2"/>
        <v>44.657534246575338</v>
      </c>
      <c r="F53" s="18">
        <f t="shared" si="2"/>
        <v>48.657534246575338</v>
      </c>
      <c r="G53" s="18">
        <f t="shared" si="2"/>
        <v>52.657534246575338</v>
      </c>
      <c r="H53" s="18">
        <f t="shared" si="2"/>
        <v>56.657534246575338</v>
      </c>
    </row>
    <row r="54" spans="2:8" ht="15" customHeight="1" x14ac:dyDescent="0.25">
      <c r="B54" s="16">
        <v>3</v>
      </c>
      <c r="C54" s="18">
        <f t="shared" si="2"/>
        <v>42.657534246575338</v>
      </c>
      <c r="D54" s="18">
        <f t="shared" si="2"/>
        <v>48.657534246575338</v>
      </c>
      <c r="E54" s="18">
        <f t="shared" si="2"/>
        <v>54.657534246575338</v>
      </c>
      <c r="F54" s="18">
        <f t="shared" si="2"/>
        <v>60.657534246575338</v>
      </c>
      <c r="G54" s="18">
        <f t="shared" si="2"/>
        <v>66.657534246575338</v>
      </c>
      <c r="H54" s="18">
        <f t="shared" si="2"/>
        <v>72.657534246575338</v>
      </c>
    </row>
    <row r="55" spans="2:8" ht="15" customHeight="1" x14ac:dyDescent="0.25">
      <c r="B55" s="16">
        <v>4</v>
      </c>
      <c r="C55" s="18">
        <f t="shared" si="2"/>
        <v>48.657534246575338</v>
      </c>
      <c r="D55" s="18">
        <f t="shared" si="2"/>
        <v>56.657534246575338</v>
      </c>
      <c r="E55" s="18">
        <f t="shared" si="2"/>
        <v>64.657534246575338</v>
      </c>
      <c r="F55" s="18">
        <f t="shared" si="2"/>
        <v>72.657534246575338</v>
      </c>
      <c r="G55" s="18">
        <f t="shared" si="2"/>
        <v>80.657534246575338</v>
      </c>
      <c r="H55" s="18">
        <f t="shared" si="2"/>
        <v>88.657534246575338</v>
      </c>
    </row>
    <row r="56" spans="2:8" ht="15" customHeight="1" x14ac:dyDescent="0.25">
      <c r="B56" s="16">
        <v>4.5</v>
      </c>
      <c r="C56" s="18">
        <f t="shared" si="2"/>
        <v>51.657534246575338</v>
      </c>
      <c r="D56" s="18">
        <f t="shared" si="2"/>
        <v>60.657534246575338</v>
      </c>
      <c r="E56" s="18">
        <f t="shared" si="2"/>
        <v>69.657534246575338</v>
      </c>
      <c r="F56" s="18">
        <f t="shared" si="2"/>
        <v>78.657534246575338</v>
      </c>
      <c r="G56" s="18">
        <f t="shared" si="2"/>
        <v>87.657534246575338</v>
      </c>
      <c r="H56" s="18">
        <f t="shared" si="2"/>
        <v>96.657534246575338</v>
      </c>
    </row>
    <row r="57" spans="2:8" ht="15" customHeight="1" x14ac:dyDescent="0.25">
      <c r="B57" s="16">
        <v>5</v>
      </c>
      <c r="C57" s="18">
        <f t="shared" si="2"/>
        <v>54.657534246575338</v>
      </c>
      <c r="D57" s="18">
        <f t="shared" si="2"/>
        <v>64.657534246575338</v>
      </c>
      <c r="E57" s="18">
        <f t="shared" si="2"/>
        <v>74.657534246575338</v>
      </c>
      <c r="F57" s="18">
        <f t="shared" si="2"/>
        <v>84.657534246575338</v>
      </c>
      <c r="G57" s="18">
        <f t="shared" si="2"/>
        <v>94.657534246575338</v>
      </c>
      <c r="H57" s="18">
        <f t="shared" si="2"/>
        <v>104.65753424657534</v>
      </c>
    </row>
  </sheetData>
  <mergeCells count="2">
    <mergeCell ref="B1:D1"/>
    <mergeCell ref="B2:D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47"/>
  <sheetViews>
    <sheetView showGridLines="0" zoomScaleNormal="100" workbookViewId="0">
      <selection activeCell="C23" sqref="C23"/>
    </sheetView>
  </sheetViews>
  <sheetFormatPr defaultColWidth="8.7109375" defaultRowHeight="15" x14ac:dyDescent="0.25"/>
  <cols>
    <col min="1" max="1" width="2" customWidth="1"/>
    <col min="2" max="2" width="40" customWidth="1"/>
    <col min="3" max="3" width="16" customWidth="1"/>
    <col min="4" max="4" width="30" customWidth="1"/>
    <col min="5" max="5" width="26" customWidth="1"/>
  </cols>
  <sheetData>
    <row r="1" spans="2:4" ht="24" customHeight="1" x14ac:dyDescent="0.25">
      <c r="B1" s="2" t="s">
        <v>55</v>
      </c>
      <c r="C1" s="2"/>
      <c r="D1" s="2"/>
    </row>
    <row r="2" spans="2:4" ht="15" customHeight="1" x14ac:dyDescent="0.25">
      <c r="B2" s="1" t="s">
        <v>56</v>
      </c>
      <c r="C2" s="1"/>
      <c r="D2" s="1"/>
    </row>
    <row r="4" spans="2:4" ht="15" customHeight="1" x14ac:dyDescent="0.25">
      <c r="B4" s="3" t="s">
        <v>2</v>
      </c>
      <c r="C4" s="4"/>
      <c r="D4" s="4"/>
    </row>
    <row r="5" spans="2:4" ht="15" customHeight="1" x14ac:dyDescent="0.25">
      <c r="B5" s="5" t="s">
        <v>3</v>
      </c>
      <c r="C5" s="6">
        <v>60</v>
      </c>
    </row>
    <row r="6" spans="2:4" ht="15" customHeight="1" x14ac:dyDescent="0.25">
      <c r="B6" s="5" t="s">
        <v>4</v>
      </c>
      <c r="C6" s="6">
        <v>28</v>
      </c>
    </row>
    <row r="7" spans="2:4" ht="15" customHeight="1" x14ac:dyDescent="0.25">
      <c r="B7" s="5" t="s">
        <v>6</v>
      </c>
      <c r="C7" s="6">
        <v>50</v>
      </c>
    </row>
    <row r="8" spans="2:4" ht="15" customHeight="1" x14ac:dyDescent="0.25">
      <c r="B8" s="5" t="s">
        <v>7</v>
      </c>
      <c r="C8" s="7">
        <v>500</v>
      </c>
    </row>
    <row r="9" spans="2:4" ht="15" customHeight="1" x14ac:dyDescent="0.25">
      <c r="B9" s="5" t="s">
        <v>9</v>
      </c>
      <c r="C9" s="7">
        <v>10</v>
      </c>
    </row>
    <row r="10" spans="2:4" ht="15" customHeight="1" x14ac:dyDescent="0.25">
      <c r="B10" s="5" t="s">
        <v>10</v>
      </c>
      <c r="C10" s="7">
        <v>4</v>
      </c>
    </row>
    <row r="11" spans="2:4" ht="15" customHeight="1" x14ac:dyDescent="0.25">
      <c r="B11" s="5" t="s">
        <v>12</v>
      </c>
      <c r="C11" s="9">
        <v>0.03</v>
      </c>
    </row>
    <row r="12" spans="2:4" ht="15" customHeight="1" x14ac:dyDescent="0.25">
      <c r="B12" s="5" t="s">
        <v>14</v>
      </c>
      <c r="C12" s="6">
        <v>5</v>
      </c>
    </row>
    <row r="13" spans="2:4" ht="15" customHeight="1" x14ac:dyDescent="0.25">
      <c r="B13" s="5" t="s">
        <v>57</v>
      </c>
      <c r="C13" s="9">
        <v>0</v>
      </c>
      <c r="D13" s="8" t="s">
        <v>58</v>
      </c>
    </row>
    <row r="15" spans="2:4" ht="15" customHeight="1" x14ac:dyDescent="0.25">
      <c r="B15" s="3" t="s">
        <v>59</v>
      </c>
      <c r="C15" s="4"/>
      <c r="D15" s="4"/>
    </row>
    <row r="16" spans="2:4" ht="15" customHeight="1" x14ac:dyDescent="0.25">
      <c r="B16" s="5" t="s">
        <v>20</v>
      </c>
      <c r="C16" s="10">
        <f>C6*1000/365</f>
        <v>76.712328767123282</v>
      </c>
    </row>
    <row r="17" spans="2:4" ht="15" customHeight="1" x14ac:dyDescent="0.25">
      <c r="B17" s="5" t="s">
        <v>21</v>
      </c>
      <c r="C17" s="10">
        <f>C5*1000/365</f>
        <v>164.38356164383561</v>
      </c>
    </row>
    <row r="18" spans="2:4" ht="15" customHeight="1" x14ac:dyDescent="0.25">
      <c r="B18" s="5" t="s">
        <v>23</v>
      </c>
      <c r="C18" s="10">
        <f>C16/24</f>
        <v>3.1963470319634699</v>
      </c>
    </row>
    <row r="19" spans="2:4" ht="15" customHeight="1" x14ac:dyDescent="0.25">
      <c r="B19" s="5" t="s">
        <v>24</v>
      </c>
      <c r="C19" s="10">
        <f>C8*C7*3600/1000000</f>
        <v>90</v>
      </c>
    </row>
    <row r="20" spans="2:4" ht="15" customHeight="1" x14ac:dyDescent="0.25">
      <c r="B20" s="5" t="s">
        <v>28</v>
      </c>
      <c r="C20" s="10">
        <f>MIN(C9*C18,C19)</f>
        <v>31.963470319634698</v>
      </c>
    </row>
    <row r="22" spans="2:4" ht="15" customHeight="1" x14ac:dyDescent="0.25">
      <c r="B22" s="3" t="s">
        <v>60</v>
      </c>
      <c r="C22" s="4"/>
      <c r="D22" s="4"/>
    </row>
    <row r="23" spans="2:4" ht="15" customHeight="1" x14ac:dyDescent="0.25">
      <c r="B23" s="5" t="s">
        <v>61</v>
      </c>
      <c r="C23" s="13">
        <f>C17</f>
        <v>164.38356164383561</v>
      </c>
    </row>
    <row r="24" spans="2:4" ht="15" customHeight="1" x14ac:dyDescent="0.25">
      <c r="B24" s="5" t="s">
        <v>62</v>
      </c>
      <c r="C24" s="19">
        <f>C23/C20</f>
        <v>5.1428571428571432</v>
      </c>
      <c r="D24" s="8" t="s">
        <v>63</v>
      </c>
    </row>
    <row r="25" spans="2:4" ht="15" customHeight="1" x14ac:dyDescent="0.25">
      <c r="B25" s="5" t="s">
        <v>64</v>
      </c>
      <c r="C25" s="20" t="str">
        <f>IF(C24&gt;=C10,"Reserve outlasts window","Reserve drains before halt")</f>
        <v>Reserve outlasts window</v>
      </c>
    </row>
    <row r="27" spans="2:4" ht="15" customHeight="1" x14ac:dyDescent="0.25">
      <c r="B27" s="3" t="s">
        <v>29</v>
      </c>
      <c r="C27" s="4"/>
      <c r="D27" s="4"/>
    </row>
    <row r="28" spans="2:4" ht="15" customHeight="1" x14ac:dyDescent="0.25">
      <c r="B28" s="5" t="s">
        <v>30</v>
      </c>
      <c r="C28" s="10">
        <f>C20*C10</f>
        <v>127.85388127853879</v>
      </c>
    </row>
    <row r="29" spans="2:4" ht="15" customHeight="1" x14ac:dyDescent="0.25">
      <c r="B29" s="5" t="s">
        <v>32</v>
      </c>
      <c r="C29" s="10">
        <f>C17*C12*C11</f>
        <v>24.657534246575342</v>
      </c>
    </row>
    <row r="30" spans="2:4" ht="15" customHeight="1" x14ac:dyDescent="0.25">
      <c r="B30" s="5" t="s">
        <v>65</v>
      </c>
      <c r="C30" s="13">
        <f>C28+C29</f>
        <v>152.51141552511413</v>
      </c>
      <c r="D30" s="8" t="s">
        <v>66</v>
      </c>
    </row>
    <row r="31" spans="2:4" ht="15" customHeight="1" x14ac:dyDescent="0.25">
      <c r="B31" s="5" t="s">
        <v>67</v>
      </c>
      <c r="C31" s="13">
        <f>MAX(0,C28-C23*(1-C13))+C29</f>
        <v>24.657534246575342</v>
      </c>
      <c r="D31" s="8" t="s">
        <v>68</v>
      </c>
    </row>
    <row r="33" spans="2:5" ht="15" customHeight="1" x14ac:dyDescent="0.25">
      <c r="B33" s="3" t="s">
        <v>69</v>
      </c>
      <c r="C33" s="4"/>
      <c r="D33" s="4"/>
    </row>
    <row r="34" spans="2:5" ht="23.25" customHeight="1" x14ac:dyDescent="0.25">
      <c r="B34" s="21" t="s">
        <v>70</v>
      </c>
      <c r="C34" s="22" t="s">
        <v>71</v>
      </c>
      <c r="D34" s="22" t="s">
        <v>72</v>
      </c>
      <c r="E34" s="22" t="s">
        <v>73</v>
      </c>
    </row>
    <row r="35" spans="2:5" ht="15" customHeight="1" x14ac:dyDescent="0.25">
      <c r="B35" s="23">
        <v>0</v>
      </c>
      <c r="C35" s="10">
        <f t="shared" ref="C35:C47" si="0">$C$20*B35</f>
        <v>0</v>
      </c>
      <c r="D35" s="10">
        <f t="shared" ref="D35:D47" si="1">MAX(0,$C$23-$C$20*B35)</f>
        <v>164.38356164383561</v>
      </c>
      <c r="E35" s="24" t="str">
        <f t="shared" ref="E35:E47" si="2">IF(B35&lt;=$C$10,"Blind window (unstoppable)",IF($C$23-$C$20*B35&gt;0,"Switch active, reserve holding","Reserve exhausted"))</f>
        <v>Blind window (unstoppable)</v>
      </c>
    </row>
    <row r="36" spans="2:5" ht="15" customHeight="1" x14ac:dyDescent="0.25">
      <c r="B36" s="23">
        <v>2</v>
      </c>
      <c r="C36" s="10">
        <f t="shared" si="0"/>
        <v>63.926940639269397</v>
      </c>
      <c r="D36" s="10">
        <f t="shared" si="1"/>
        <v>100.45662100456622</v>
      </c>
      <c r="E36" s="24" t="str">
        <f t="shared" si="2"/>
        <v>Blind window (unstoppable)</v>
      </c>
    </row>
    <row r="37" spans="2:5" ht="15" customHeight="1" x14ac:dyDescent="0.25">
      <c r="B37" s="23">
        <v>4</v>
      </c>
      <c r="C37" s="10">
        <f t="shared" si="0"/>
        <v>127.85388127853879</v>
      </c>
      <c r="D37" s="10">
        <f t="shared" si="1"/>
        <v>36.529680365296812</v>
      </c>
      <c r="E37" s="24" t="str">
        <f t="shared" si="2"/>
        <v>Blind window (unstoppable)</v>
      </c>
    </row>
    <row r="38" spans="2:5" ht="15" customHeight="1" x14ac:dyDescent="0.25">
      <c r="B38" s="23">
        <v>6</v>
      </c>
      <c r="C38" s="10">
        <f t="shared" si="0"/>
        <v>191.7808219178082</v>
      </c>
      <c r="D38" s="10">
        <f t="shared" si="1"/>
        <v>0</v>
      </c>
      <c r="E38" s="24" t="str">
        <f t="shared" si="2"/>
        <v>Reserve exhausted</v>
      </c>
    </row>
    <row r="39" spans="2:5" ht="15" customHeight="1" x14ac:dyDescent="0.25">
      <c r="B39" s="23">
        <v>8</v>
      </c>
      <c r="C39" s="10">
        <f t="shared" si="0"/>
        <v>255.70776255707759</v>
      </c>
      <c r="D39" s="10">
        <f t="shared" si="1"/>
        <v>0</v>
      </c>
      <c r="E39" s="24" t="str">
        <f t="shared" si="2"/>
        <v>Reserve exhausted</v>
      </c>
    </row>
    <row r="40" spans="2:5" ht="15" customHeight="1" x14ac:dyDescent="0.25">
      <c r="B40" s="23">
        <v>10</v>
      </c>
      <c r="C40" s="10">
        <f t="shared" si="0"/>
        <v>319.634703196347</v>
      </c>
      <c r="D40" s="10">
        <f t="shared" si="1"/>
        <v>0</v>
      </c>
      <c r="E40" s="24" t="str">
        <f t="shared" si="2"/>
        <v>Reserve exhausted</v>
      </c>
    </row>
    <row r="41" spans="2:5" ht="15" customHeight="1" x14ac:dyDescent="0.25">
      <c r="B41" s="23">
        <v>12</v>
      </c>
      <c r="C41" s="10">
        <f t="shared" si="0"/>
        <v>383.56164383561639</v>
      </c>
      <c r="D41" s="10">
        <f t="shared" si="1"/>
        <v>0</v>
      </c>
      <c r="E41" s="24" t="str">
        <f t="shared" si="2"/>
        <v>Reserve exhausted</v>
      </c>
    </row>
    <row r="42" spans="2:5" ht="15" customHeight="1" x14ac:dyDescent="0.25">
      <c r="B42" s="23">
        <v>14</v>
      </c>
      <c r="C42" s="10">
        <f t="shared" si="0"/>
        <v>447.48858447488578</v>
      </c>
      <c r="D42" s="10">
        <f t="shared" si="1"/>
        <v>0</v>
      </c>
      <c r="E42" s="24" t="str">
        <f t="shared" si="2"/>
        <v>Reserve exhausted</v>
      </c>
    </row>
    <row r="43" spans="2:5" ht="15" customHeight="1" x14ac:dyDescent="0.25">
      <c r="B43" s="23">
        <v>16</v>
      </c>
      <c r="C43" s="10">
        <f t="shared" si="0"/>
        <v>511.41552511415517</v>
      </c>
      <c r="D43" s="10">
        <f t="shared" si="1"/>
        <v>0</v>
      </c>
      <c r="E43" s="24" t="str">
        <f t="shared" si="2"/>
        <v>Reserve exhausted</v>
      </c>
    </row>
    <row r="44" spans="2:5" ht="15" customHeight="1" x14ac:dyDescent="0.25">
      <c r="B44" s="23">
        <v>18</v>
      </c>
      <c r="C44" s="10">
        <f t="shared" si="0"/>
        <v>575.34246575342456</v>
      </c>
      <c r="D44" s="10">
        <f t="shared" si="1"/>
        <v>0</v>
      </c>
      <c r="E44" s="24" t="str">
        <f t="shared" si="2"/>
        <v>Reserve exhausted</v>
      </c>
    </row>
    <row r="45" spans="2:5" ht="15" customHeight="1" x14ac:dyDescent="0.25">
      <c r="B45" s="23">
        <v>20</v>
      </c>
      <c r="C45" s="10">
        <f t="shared" si="0"/>
        <v>639.26940639269401</v>
      </c>
      <c r="D45" s="10">
        <f t="shared" si="1"/>
        <v>0</v>
      </c>
      <c r="E45" s="24" t="str">
        <f t="shared" si="2"/>
        <v>Reserve exhausted</v>
      </c>
    </row>
    <row r="46" spans="2:5" ht="15" customHeight="1" x14ac:dyDescent="0.25">
      <c r="B46" s="23">
        <v>22</v>
      </c>
      <c r="C46" s="10">
        <f t="shared" si="0"/>
        <v>703.19634703196334</v>
      </c>
      <c r="D46" s="10">
        <f t="shared" si="1"/>
        <v>0</v>
      </c>
      <c r="E46" s="24" t="str">
        <f t="shared" si="2"/>
        <v>Reserve exhausted</v>
      </c>
    </row>
    <row r="47" spans="2:5" ht="15" customHeight="1" x14ac:dyDescent="0.25">
      <c r="B47" s="23">
        <v>24</v>
      </c>
      <c r="C47" s="10">
        <f t="shared" si="0"/>
        <v>767.12328767123279</v>
      </c>
      <c r="D47" s="10">
        <f t="shared" si="1"/>
        <v>0</v>
      </c>
      <c r="E47" s="24" t="str">
        <f t="shared" si="2"/>
        <v>Reserve exhausted</v>
      </c>
    </row>
  </sheetData>
  <mergeCells count="2">
    <mergeCell ref="B1:D1"/>
    <mergeCell ref="B2:D2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32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100" customWidth="1"/>
  </cols>
  <sheetData>
    <row r="1" spans="2:2" ht="24" customHeight="1" x14ac:dyDescent="0.25">
      <c r="B1" s="25" t="s">
        <v>74</v>
      </c>
    </row>
    <row r="3" spans="2:2" ht="15" customHeight="1" x14ac:dyDescent="0.25">
      <c r="B3" s="5"/>
    </row>
    <row r="4" spans="2:2" ht="15" customHeight="1" x14ac:dyDescent="0.25">
      <c r="B4" s="17" t="s">
        <v>75</v>
      </c>
    </row>
    <row r="5" spans="2:2" ht="15" customHeight="1" x14ac:dyDescent="0.25">
      <c r="B5" s="5" t="s">
        <v>76</v>
      </c>
    </row>
    <row r="6" spans="2:2" ht="15" customHeight="1" x14ac:dyDescent="0.25">
      <c r="B6" s="5" t="s">
        <v>77</v>
      </c>
    </row>
    <row r="7" spans="2:2" ht="15" customHeight="1" x14ac:dyDescent="0.25">
      <c r="B7" s="5"/>
    </row>
    <row r="8" spans="2:2" ht="15" customHeight="1" x14ac:dyDescent="0.25">
      <c r="B8" s="17" t="s">
        <v>78</v>
      </c>
    </row>
    <row r="9" spans="2:2" ht="15" customHeight="1" x14ac:dyDescent="0.25">
      <c r="B9" s="5" t="s">
        <v>79</v>
      </c>
    </row>
    <row r="10" spans="2:2" ht="15" customHeight="1" x14ac:dyDescent="0.25">
      <c r="B10" s="5" t="s">
        <v>80</v>
      </c>
    </row>
    <row r="11" spans="2:2" ht="15" customHeight="1" x14ac:dyDescent="0.25">
      <c r="B11" s="5"/>
    </row>
    <row r="12" spans="2:2" ht="15" customHeight="1" x14ac:dyDescent="0.25">
      <c r="B12" s="17" t="s">
        <v>81</v>
      </c>
    </row>
    <row r="13" spans="2:2" ht="15" customHeight="1" x14ac:dyDescent="0.25">
      <c r="B13" s="5" t="s">
        <v>82</v>
      </c>
    </row>
    <row r="14" spans="2:2" ht="15" customHeight="1" x14ac:dyDescent="0.25">
      <c r="B14" s="5" t="s">
        <v>83</v>
      </c>
    </row>
    <row r="15" spans="2:2" ht="15" customHeight="1" x14ac:dyDescent="0.25">
      <c r="B15" s="5" t="s">
        <v>84</v>
      </c>
    </row>
    <row r="16" spans="2:2" ht="15" customHeight="1" x14ac:dyDescent="0.25">
      <c r="B16" s="5" t="s">
        <v>85</v>
      </c>
    </row>
    <row r="17" spans="2:2" ht="15" customHeight="1" x14ac:dyDescent="0.25">
      <c r="B17" s="5" t="s">
        <v>86</v>
      </c>
    </row>
    <row r="18" spans="2:2" ht="15" customHeight="1" x14ac:dyDescent="0.25">
      <c r="B18" s="5" t="s">
        <v>87</v>
      </c>
    </row>
    <row r="19" spans="2:2" ht="15" customHeight="1" x14ac:dyDescent="0.25">
      <c r="B19" s="5" t="s">
        <v>88</v>
      </c>
    </row>
    <row r="20" spans="2:2" ht="15" customHeight="1" x14ac:dyDescent="0.25">
      <c r="B20" s="5"/>
    </row>
    <row r="21" spans="2:2" ht="15" customHeight="1" x14ac:dyDescent="0.25">
      <c r="B21" s="17" t="s">
        <v>89</v>
      </c>
    </row>
    <row r="22" spans="2:2" ht="15" customHeight="1" x14ac:dyDescent="0.25">
      <c r="B22" s="5" t="s">
        <v>90</v>
      </c>
    </row>
    <row r="23" spans="2:2" ht="15" customHeight="1" x14ac:dyDescent="0.25">
      <c r="B23" s="5" t="s">
        <v>91</v>
      </c>
    </row>
    <row r="24" spans="2:2" ht="15" customHeight="1" x14ac:dyDescent="0.25">
      <c r="B24" s="5"/>
    </row>
    <row r="25" spans="2:2" ht="15" customHeight="1" x14ac:dyDescent="0.25">
      <c r="B25" s="17" t="s">
        <v>92</v>
      </c>
    </row>
    <row r="26" spans="2:2" ht="15" customHeight="1" x14ac:dyDescent="0.25">
      <c r="B26" s="5" t="s">
        <v>93</v>
      </c>
    </row>
    <row r="27" spans="2:2" ht="15" customHeight="1" x14ac:dyDescent="0.25">
      <c r="B27" s="5" t="s">
        <v>94</v>
      </c>
    </row>
    <row r="28" spans="2:2" ht="15" customHeight="1" x14ac:dyDescent="0.25">
      <c r="B28" s="5"/>
    </row>
    <row r="29" spans="2:2" ht="15" customHeight="1" x14ac:dyDescent="0.25">
      <c r="B29" s="5" t="s">
        <v>95</v>
      </c>
    </row>
    <row r="30" spans="2:2" ht="15" customHeight="1" x14ac:dyDescent="0.25">
      <c r="B30" s="5" t="s">
        <v>96</v>
      </c>
    </row>
    <row r="31" spans="2:2" ht="15" customHeight="1" x14ac:dyDescent="0.25">
      <c r="B31" s="5"/>
    </row>
    <row r="32" spans="2:2" ht="15" customHeight="1" x14ac:dyDescent="0.25">
      <c r="B32" s="5" t="s">
        <v>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Reserve Model</vt:lpstr>
      <vt:lpstr>2. T+1 Model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James Nampalam</cp:lastModifiedBy>
  <cp:revision>3</cp:revision>
  <dcterms:created xsi:type="dcterms:W3CDTF">2026-06-18T01:23:21Z</dcterms:created>
  <dcterms:modified xsi:type="dcterms:W3CDTF">2026-06-18T01:52:48Z</dcterms:modified>
  <dc:language>en-US</dc:language>
</cp:coreProperties>
</file>